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vtioffice365-my.sharepoint.com/personal/elric_milet-vti-se/Documents/Thesis/TerminalCongestionViewer/TerminalCongestionViewer/"/>
    </mc:Choice>
  </mc:AlternateContent>
  <xr:revisionPtr revIDLastSave="1" documentId="11_FF001D98C1E6F80578F00C481ABB1A916BCFDAA0" xr6:coauthVersionLast="47" xr6:coauthVersionMax="47" xr10:uidLastSave="{A8917915-92C9-43B1-BA90-8A5319CF3987}"/>
  <bookViews>
    <workbookView xWindow="28680" yWindow="-3795" windowWidth="38640" windowHeight="21120" tabRatio="500" xr2:uid="{00000000-000D-0000-FFFF-FFFF00000000}"/>
  </bookViews>
  <sheets>
    <sheet name="251202_pairwise_dista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O16" i="1" l="1"/>
  <c r="N16" i="1"/>
  <c r="K16" i="1"/>
  <c r="H16" i="1"/>
  <c r="M16" i="1" s="1"/>
  <c r="G16" i="1"/>
  <c r="L16" i="1" s="1"/>
  <c r="O15" i="1"/>
  <c r="N15" i="1"/>
  <c r="K15" i="1"/>
  <c r="H15" i="1"/>
  <c r="M15" i="1" s="1"/>
  <c r="G15" i="1"/>
  <c r="L15" i="1" s="1"/>
  <c r="O14" i="1"/>
  <c r="N14" i="1"/>
  <c r="K14" i="1"/>
  <c r="H14" i="1"/>
  <c r="G14" i="1"/>
  <c r="O13" i="1"/>
  <c r="N13" i="1"/>
  <c r="K13" i="1"/>
  <c r="H13" i="1"/>
  <c r="M13" i="1" s="1"/>
  <c r="G13" i="1"/>
  <c r="L13" i="1" s="1"/>
  <c r="O12" i="1"/>
  <c r="N12" i="1"/>
  <c r="K12" i="1"/>
  <c r="H12" i="1"/>
  <c r="M12" i="1" s="1"/>
  <c r="G12" i="1"/>
  <c r="L12" i="1" s="1"/>
  <c r="O11" i="1"/>
  <c r="N11" i="1"/>
  <c r="K11" i="1"/>
  <c r="H11" i="1"/>
  <c r="M11" i="1" s="1"/>
  <c r="G11" i="1"/>
  <c r="L11" i="1" s="1"/>
  <c r="O10" i="1"/>
  <c r="N10" i="1"/>
  <c r="K10" i="1"/>
  <c r="H10" i="1"/>
  <c r="M10" i="1" s="1"/>
  <c r="G10" i="1"/>
  <c r="L10" i="1" s="1"/>
  <c r="O9" i="1"/>
  <c r="N9" i="1"/>
  <c r="K9" i="1"/>
  <c r="H9" i="1"/>
  <c r="M9" i="1" s="1"/>
  <c r="G9" i="1"/>
  <c r="L9" i="1" s="1"/>
  <c r="O8" i="1"/>
  <c r="N8" i="1"/>
  <c r="L8" i="1"/>
  <c r="K8" i="1"/>
  <c r="H8" i="1"/>
  <c r="M8" i="1" s="1"/>
  <c r="G8" i="1"/>
  <c r="O7" i="1"/>
  <c r="N7" i="1"/>
  <c r="M7" i="1"/>
  <c r="K7" i="1"/>
  <c r="H7" i="1"/>
  <c r="G7" i="1"/>
  <c r="L7" i="1" s="1"/>
  <c r="O6" i="1"/>
  <c r="N6" i="1"/>
  <c r="K6" i="1"/>
  <c r="H6" i="1"/>
  <c r="M6" i="1" s="1"/>
  <c r="G6" i="1"/>
  <c r="L6" i="1" s="1"/>
  <c r="O5" i="1"/>
  <c r="N5" i="1"/>
  <c r="K5" i="1"/>
  <c r="H5" i="1"/>
  <c r="M5" i="1" s="1"/>
  <c r="G5" i="1"/>
  <c r="L5" i="1" s="1"/>
  <c r="O4" i="1"/>
  <c r="N4" i="1"/>
  <c r="K4" i="1"/>
  <c r="H4" i="1"/>
  <c r="M4" i="1" s="1"/>
  <c r="G4" i="1"/>
  <c r="L4" i="1" s="1"/>
  <c r="O3" i="1"/>
  <c r="N3" i="1"/>
  <c r="K3" i="1"/>
  <c r="H3" i="1"/>
  <c r="M3" i="1" s="1"/>
  <c r="G3" i="1"/>
  <c r="L3" i="1" s="1"/>
  <c r="O2" i="1"/>
  <c r="N2" i="1"/>
  <c r="K2" i="1"/>
  <c r="H2" i="1"/>
  <c r="G2" i="1"/>
  <c r="M14" i="1" l="1"/>
  <c r="M2" i="1"/>
  <c r="L14" i="1"/>
  <c r="L2" i="1"/>
</calcChain>
</file>

<file path=xl/sharedStrings.xml><?xml version="1.0" encoding="utf-8"?>
<sst xmlns="http://schemas.openxmlformats.org/spreadsheetml/2006/main" count="45" uniqueCount="21">
  <si>
    <t>traj1</t>
  </si>
  <si>
    <t>traj2</t>
  </si>
  <si>
    <t>sspd</t>
  </si>
  <si>
    <t>dfd</t>
  </si>
  <si>
    <t>edr</t>
  </si>
  <si>
    <t>1-sspd*10000</t>
  </si>
  <si>
    <t>1-dfd*10000</t>
  </si>
  <si>
    <t>subj. local</t>
  </si>
  <si>
    <t>subj. global</t>
  </si>
  <si>
    <t>norm. edr</t>
  </si>
  <si>
    <t>norm. 1-sspd</t>
  </si>
  <si>
    <t>norm. 1-dfd</t>
  </si>
  <si>
    <t>norm. subj. loc.</t>
  </si>
  <si>
    <t>norm. subj. glob.</t>
  </si>
  <si>
    <t>55700000076548472</t>
  </si>
  <si>
    <t>55700000076547896</t>
  </si>
  <si>
    <t>55700000076547865</t>
  </si>
  <si>
    <t>55700000076547834</t>
  </si>
  <si>
    <t>55700000076546593</t>
  </si>
  <si>
    <t>55700000076546624</t>
  </si>
  <si>
    <t>7 13 14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</si>
</sst>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0000000000000"/>
    <numFmt numFmtId="165" formatCode="#,##0.000000000000000"/>
  </numFmts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'251202_pairwise_distances'!$K$1</c:f>
              <c:strCache>
                <c:ptCount val="1"/>
                <c:pt idx="0">
                  <c:v>norm. edr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'251202_pairwise_distances'!$K$2:$K$16</c:f>
              <c:numCache>
                <c:formatCode>General</c:formatCode>
                <c:ptCount val="15"/>
                <c:pt idx="0">
                  <c:v>1</c:v>
                </c:pt>
                <c:pt idx="1">
                  <c:v>0.70542107057620262</c:v>
                </c:pt>
                <c:pt idx="2">
                  <c:v>0</c:v>
                </c:pt>
                <c:pt idx="3">
                  <c:v>0.90794408455506359</c:v>
                </c:pt>
                <c:pt idx="4">
                  <c:v>0.6317763382202517</c:v>
                </c:pt>
                <c:pt idx="5">
                  <c:v>0.39283120117404752</c:v>
                </c:pt>
                <c:pt idx="6">
                  <c:v>0.4246505284691442</c:v>
                </c:pt>
                <c:pt idx="7">
                  <c:v>0.49889562549103966</c:v>
                </c:pt>
                <c:pt idx="8">
                  <c:v>0.81708889844201671</c:v>
                </c:pt>
                <c:pt idx="9">
                  <c:v>0.25298329355608618</c:v>
                </c:pt>
                <c:pt idx="10">
                  <c:v>0.13634813873477553</c:v>
                </c:pt>
                <c:pt idx="11">
                  <c:v>0.26733815333730709</c:v>
                </c:pt>
                <c:pt idx="12">
                  <c:v>0.28008864643709463</c:v>
                </c:pt>
                <c:pt idx="13">
                  <c:v>0.15359699965905149</c:v>
                </c:pt>
                <c:pt idx="14">
                  <c:v>0.26733815333730709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58-4A99-9A1B-E47195F96422}"/>
            </c:ext>
          </c:extLst>
        </c:ser>
        <c:ser>
          <c:idx val="1"/>
          <c:order val="1"/>
          <c:tx>
            <c:strRef>
              <c:f>'251202_pairwise_distances'!$L$1</c:f>
              <c:strCache>
                <c:ptCount val="1"/>
                <c:pt idx="0">
                  <c:v>norm. 1-sspd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'251202_pairwise_distances'!$L$2:$L$16</c:f>
              <c:numCache>
                <c:formatCode>General</c:formatCode>
                <c:ptCount val="15"/>
                <c:pt idx="0">
                  <c:v>0.92436774488040274</c:v>
                </c:pt>
                <c:pt idx="1">
                  <c:v>0.20765502706334077</c:v>
                </c:pt>
                <c:pt idx="2">
                  <c:v>0.67807577445088396</c:v>
                </c:pt>
                <c:pt idx="3">
                  <c:v>0.7823568204829715</c:v>
                </c:pt>
                <c:pt idx="4">
                  <c:v>0.74707665921415489</c:v>
                </c:pt>
                <c:pt idx="5">
                  <c:v>0.49735927965391669</c:v>
                </c:pt>
                <c:pt idx="6">
                  <c:v>0.88187689615071829</c:v>
                </c:pt>
                <c:pt idx="7">
                  <c:v>1</c:v>
                </c:pt>
                <c:pt idx="8">
                  <c:v>0.92768170155862573</c:v>
                </c:pt>
                <c:pt idx="9">
                  <c:v>0.63831094307495673</c:v>
                </c:pt>
                <c:pt idx="10">
                  <c:v>0.35059329782970872</c:v>
                </c:pt>
                <c:pt idx="11">
                  <c:v>0</c:v>
                </c:pt>
                <c:pt idx="12">
                  <c:v>0.8385849786823002</c:v>
                </c:pt>
                <c:pt idx="13">
                  <c:v>0.83139722830074225</c:v>
                </c:pt>
                <c:pt idx="14">
                  <c:v>0.99301676060078015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58-4A99-9A1B-E47195F96422}"/>
            </c:ext>
          </c:extLst>
        </c:ser>
        <c:ser>
          <c:idx val="2"/>
          <c:order val="2"/>
          <c:tx>
            <c:strRef>
              <c:f>'251202_pairwise_distances'!$M$1</c:f>
              <c:strCache>
                <c:ptCount val="1"/>
                <c:pt idx="0">
                  <c:v>norm. 1-dfd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'251202_pairwise_distances'!$M$2:$M$16</c:f>
              <c:numCache>
                <c:formatCode>General</c:formatCode>
                <c:ptCount val="15"/>
                <c:pt idx="0">
                  <c:v>0.98192426284642886</c:v>
                </c:pt>
                <c:pt idx="1">
                  <c:v>7.5215064286997479E-2</c:v>
                </c:pt>
                <c:pt idx="2">
                  <c:v>5.1328297086212879E-2</c:v>
                </c:pt>
                <c:pt idx="3">
                  <c:v>0.45901609296944051</c:v>
                </c:pt>
                <c:pt idx="4">
                  <c:v>1</c:v>
                </c:pt>
                <c:pt idx="5">
                  <c:v>0</c:v>
                </c:pt>
                <c:pt idx="6">
                  <c:v>0.29773949734314903</c:v>
                </c:pt>
                <c:pt idx="7">
                  <c:v>0.86457922867352255</c:v>
                </c:pt>
                <c:pt idx="8">
                  <c:v>0.85001138901882678</c:v>
                </c:pt>
                <c:pt idx="9">
                  <c:v>0.63489545139779835</c:v>
                </c:pt>
                <c:pt idx="10">
                  <c:v>8.8946176336199556E-2</c:v>
                </c:pt>
                <c:pt idx="11">
                  <c:v>6.5443870487939121E-2</c:v>
                </c:pt>
                <c:pt idx="12">
                  <c:v>0.43631782000197633</c:v>
                </c:pt>
                <c:pt idx="13">
                  <c:v>0.36699795752642367</c:v>
                </c:pt>
                <c:pt idx="14">
                  <c:v>0.80878726192359129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58-4A99-9A1B-E47195F96422}"/>
            </c:ext>
          </c:extLst>
        </c:ser>
        <c:ser>
          <c:idx val="3"/>
          <c:order val="3"/>
          <c:tx>
            <c:strRef>
              <c:f>'251202_pairwise_distances'!$N$1</c:f>
              <c:strCache>
                <c:ptCount val="1"/>
                <c:pt idx="0">
                  <c:v>norm. subj. loc.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'251202_pairwise_distances'!$N$2:$N$16</c:f>
              <c:numCache>
                <c:formatCode>General</c:formatCode>
                <c:ptCount val="15"/>
                <c:pt idx="0">
                  <c:v>0.49999999999999989</c:v>
                </c:pt>
                <c:pt idx="1">
                  <c:v>0.49999999999999989</c:v>
                </c:pt>
                <c:pt idx="2">
                  <c:v>0</c:v>
                </c:pt>
                <c:pt idx="3">
                  <c:v>0.75000000000000011</c:v>
                </c:pt>
                <c:pt idx="4">
                  <c:v>0.49999999999999989</c:v>
                </c:pt>
                <c:pt idx="5">
                  <c:v>0.75000000000000011</c:v>
                </c:pt>
                <c:pt idx="6">
                  <c:v>0.24999999999999994</c:v>
                </c:pt>
                <c:pt idx="7">
                  <c:v>0.75000000000000011</c:v>
                </c:pt>
                <c:pt idx="8">
                  <c:v>0.49999999999999989</c:v>
                </c:pt>
                <c:pt idx="9">
                  <c:v>0</c:v>
                </c:pt>
                <c:pt idx="10">
                  <c:v>0.49999999999999989</c:v>
                </c:pt>
                <c:pt idx="11">
                  <c:v>0.24999999999999994</c:v>
                </c:pt>
                <c:pt idx="12">
                  <c:v>0.24999999999999994</c:v>
                </c:pt>
                <c:pt idx="13">
                  <c:v>0.49999999999999989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58-4A99-9A1B-E47195F9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0082218"/>
        <c:axId val="23213005"/>
      </c:barChart>
      <c:catAx>
        <c:axId val="9008221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sv-SE"/>
          </a:p>
        </c:txPr>
        <c:crossAx val="23213005"/>
        <c:crosses val="autoZero"/>
        <c:auto val="1"/>
        <c:lblAlgn val="ctr"/>
        <c:lblOffset val="100"/>
        <c:noMultiLvlLbl val="0"/>
      </c:catAx>
      <c:valAx>
        <c:axId val="232130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sv-SE"/>
          </a:p>
        </c:txPr>
        <c:crossAx val="9008221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'251202_pairwise_distances'!$K$1</c:f>
              <c:strCache>
                <c:ptCount val="1"/>
                <c:pt idx="0">
                  <c:v>norm. edr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'251202_pairwise_distances'!$K$2:$K$16</c:f>
              <c:numCache>
                <c:formatCode>General</c:formatCode>
                <c:ptCount val="15"/>
                <c:pt idx="0">
                  <c:v>1</c:v>
                </c:pt>
                <c:pt idx="1">
                  <c:v>0.70542107057620262</c:v>
                </c:pt>
                <c:pt idx="2">
                  <c:v>0</c:v>
                </c:pt>
                <c:pt idx="3">
                  <c:v>0.90794408455506359</c:v>
                </c:pt>
                <c:pt idx="4">
                  <c:v>0.6317763382202517</c:v>
                </c:pt>
                <c:pt idx="5">
                  <c:v>0.39283120117404752</c:v>
                </c:pt>
                <c:pt idx="6">
                  <c:v>0.4246505284691442</c:v>
                </c:pt>
                <c:pt idx="7">
                  <c:v>0.49889562549103966</c:v>
                </c:pt>
                <c:pt idx="8">
                  <c:v>0.81708889844201671</c:v>
                </c:pt>
                <c:pt idx="9">
                  <c:v>0.25298329355608618</c:v>
                </c:pt>
                <c:pt idx="10">
                  <c:v>0.13634813873477553</c:v>
                </c:pt>
                <c:pt idx="11">
                  <c:v>0.26733815333730709</c:v>
                </c:pt>
                <c:pt idx="12">
                  <c:v>0.28008864643709463</c:v>
                </c:pt>
                <c:pt idx="13">
                  <c:v>0.15359699965905149</c:v>
                </c:pt>
                <c:pt idx="14">
                  <c:v>0.26733815333730709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83-4F0F-80F4-002E112B287C}"/>
            </c:ext>
          </c:extLst>
        </c:ser>
        <c:ser>
          <c:idx val="1"/>
          <c:order val="1"/>
          <c:tx>
            <c:strRef>
              <c:f>'251202_pairwise_distances'!$L$1</c:f>
              <c:strCache>
                <c:ptCount val="1"/>
                <c:pt idx="0">
                  <c:v>norm. 1-sspd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'251202_pairwise_distances'!$L$2:$L$16</c:f>
              <c:numCache>
                <c:formatCode>General</c:formatCode>
                <c:ptCount val="15"/>
                <c:pt idx="0">
                  <c:v>0.92436774488040274</c:v>
                </c:pt>
                <c:pt idx="1">
                  <c:v>0.20765502706334077</c:v>
                </c:pt>
                <c:pt idx="2">
                  <c:v>0.67807577445088396</c:v>
                </c:pt>
                <c:pt idx="3">
                  <c:v>0.7823568204829715</c:v>
                </c:pt>
                <c:pt idx="4">
                  <c:v>0.74707665921415489</c:v>
                </c:pt>
                <c:pt idx="5">
                  <c:v>0.49735927965391669</c:v>
                </c:pt>
                <c:pt idx="6">
                  <c:v>0.88187689615071829</c:v>
                </c:pt>
                <c:pt idx="7">
                  <c:v>1</c:v>
                </c:pt>
                <c:pt idx="8">
                  <c:v>0.92768170155862573</c:v>
                </c:pt>
                <c:pt idx="9">
                  <c:v>0.63831094307495673</c:v>
                </c:pt>
                <c:pt idx="10">
                  <c:v>0.35059329782970872</c:v>
                </c:pt>
                <c:pt idx="11">
                  <c:v>0</c:v>
                </c:pt>
                <c:pt idx="12">
                  <c:v>0.8385849786823002</c:v>
                </c:pt>
                <c:pt idx="13">
                  <c:v>0.83139722830074225</c:v>
                </c:pt>
                <c:pt idx="14">
                  <c:v>0.99301676060078015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83-4F0F-80F4-002E112B287C}"/>
            </c:ext>
          </c:extLst>
        </c:ser>
        <c:ser>
          <c:idx val="2"/>
          <c:order val="2"/>
          <c:tx>
            <c:strRef>
              <c:f>'251202_pairwise_distances'!$M$1</c:f>
              <c:strCache>
                <c:ptCount val="1"/>
                <c:pt idx="0">
                  <c:v>norm. 1-dfd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'251202_pairwise_distances'!$M$2:$M$16</c:f>
              <c:numCache>
                <c:formatCode>General</c:formatCode>
                <c:ptCount val="15"/>
                <c:pt idx="0">
                  <c:v>0.98192426284642886</c:v>
                </c:pt>
                <c:pt idx="1">
                  <c:v>7.5215064286997479E-2</c:v>
                </c:pt>
                <c:pt idx="2">
                  <c:v>5.1328297086212879E-2</c:v>
                </c:pt>
                <c:pt idx="3">
                  <c:v>0.45901609296944051</c:v>
                </c:pt>
                <c:pt idx="4">
                  <c:v>1</c:v>
                </c:pt>
                <c:pt idx="5">
                  <c:v>0</c:v>
                </c:pt>
                <c:pt idx="6">
                  <c:v>0.29773949734314903</c:v>
                </c:pt>
                <c:pt idx="7">
                  <c:v>0.86457922867352255</c:v>
                </c:pt>
                <c:pt idx="8">
                  <c:v>0.85001138901882678</c:v>
                </c:pt>
                <c:pt idx="9">
                  <c:v>0.63489545139779835</c:v>
                </c:pt>
                <c:pt idx="10">
                  <c:v>8.8946176336199556E-2</c:v>
                </c:pt>
                <c:pt idx="11">
                  <c:v>6.5443870487939121E-2</c:v>
                </c:pt>
                <c:pt idx="12">
                  <c:v>0.43631782000197633</c:v>
                </c:pt>
                <c:pt idx="13">
                  <c:v>0.36699795752642367</c:v>
                </c:pt>
                <c:pt idx="14">
                  <c:v>0.80878726192359129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83-4F0F-80F4-002E112B287C}"/>
            </c:ext>
          </c:extLst>
        </c:ser>
        <c:ser>
          <c:idx val="3"/>
          <c:order val="3"/>
          <c:tx>
            <c:strRef>
              <c:f>'251202_pairwise_distances'!$O$1</c:f>
              <c:strCache>
                <c:ptCount val="1"/>
                <c:pt idx="0">
                  <c:v>norm. subj. glob.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'251202_pairwise_distances'!$O$2:$O$16</c:f>
              <c:numCache>
                <c:formatCode>General</c:formatCode>
                <c:ptCount val="15"/>
                <c:pt idx="0">
                  <c:v>1</c:v>
                </c:pt>
                <c:pt idx="1">
                  <c:v>0</c:v>
                </c:pt>
                <c:pt idx="2">
                  <c:v>0.49999999999999989</c:v>
                </c:pt>
                <c:pt idx="3">
                  <c:v>0.75000000000000011</c:v>
                </c:pt>
                <c:pt idx="4">
                  <c:v>0.75000000000000011</c:v>
                </c:pt>
                <c:pt idx="5">
                  <c:v>0</c:v>
                </c:pt>
                <c:pt idx="6">
                  <c:v>0.49999999999999989</c:v>
                </c:pt>
                <c:pt idx="7">
                  <c:v>1</c:v>
                </c:pt>
                <c:pt idx="8">
                  <c:v>0.75000000000000011</c:v>
                </c:pt>
                <c:pt idx="9">
                  <c:v>0.75000000000000011</c:v>
                </c:pt>
                <c:pt idx="10">
                  <c:v>0.24999999999999994</c:v>
                </c:pt>
                <c:pt idx="11">
                  <c:v>0</c:v>
                </c:pt>
                <c:pt idx="12">
                  <c:v>0.75000000000000011</c:v>
                </c:pt>
                <c:pt idx="13">
                  <c:v>0.49999999999999989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83-4F0F-80F4-002E112B2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72091839"/>
        <c:axId val="83759063"/>
      </c:barChart>
      <c:catAx>
        <c:axId val="720918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sv-SE"/>
          </a:p>
        </c:txPr>
        <c:crossAx val="83759063"/>
        <c:crosses val="autoZero"/>
        <c:auto val="1"/>
        <c:lblAlgn val="ctr"/>
        <c:lblOffset val="100"/>
        <c:noMultiLvlLbl val="0"/>
      </c:catAx>
      <c:valAx>
        <c:axId val="837590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sv-SE"/>
          </a:p>
        </c:txPr>
        <c:crossAx val="7209183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702720</xdr:colOff>
      <xdr:row>18</xdr:row>
      <xdr:rowOff>113400</xdr:rowOff>
    </xdr:from>
    <xdr:to>
      <xdr:col>6</xdr:col>
      <xdr:colOff>732600</xdr:colOff>
      <xdr:row>53</xdr:row>
      <xdr:rowOff>123840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861120</xdr:colOff>
      <xdr:row>17</xdr:row>
      <xdr:rowOff>152280</xdr:rowOff>
    </xdr:from>
    <xdr:to>
      <xdr:col>17</xdr:col>
      <xdr:colOff>3240</xdr:colOff>
      <xdr:row>53</xdr:row>
      <xdr:rowOff>100800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7"/>
  <sheetViews>
    <sheetView tabSelected="1" zoomScaleNormal="100" workbookViewId="0">
      <selection activeCell="D58" sqref="D58"/>
    </sheetView>
  </sheetViews>
  <sheetFormatPr defaultColWidth="11.5546875" defaultRowHeight="12.75" customHeight="1" x14ac:dyDescent="0.25"/>
  <cols>
    <col min="1" max="1" width="5" style="1" customWidth="1"/>
    <col min="2" max="5" width="30" customWidth="1"/>
    <col min="6" max="8" width="23.21875" customWidth="1"/>
    <col min="9" max="9" width="13.88671875" customWidth="1"/>
    <col min="14" max="14" width="14" customWidth="1"/>
    <col min="15" max="15" width="15" customWidth="1"/>
  </cols>
  <sheetData>
    <row r="1" spans="1:15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 s="1">
        <v>1</v>
      </c>
      <c r="B2" s="2" t="s">
        <v>14</v>
      </c>
      <c r="C2" s="2" t="s">
        <v>15</v>
      </c>
      <c r="D2" s="3">
        <v>1.04345805589899E-5</v>
      </c>
      <c r="E2" s="3">
        <v>3.3225138033916899E-5</v>
      </c>
      <c r="F2" s="4">
        <v>0.446540880503145</v>
      </c>
      <c r="G2">
        <f t="shared" ref="G2:G16" si="0">1-D2*10000</f>
        <v>0.89565419441010097</v>
      </c>
      <c r="H2">
        <f t="shared" ref="H2:H16" si="1">1-E2*10000</f>
        <v>0.66774861966083099</v>
      </c>
      <c r="I2">
        <v>0.7</v>
      </c>
      <c r="J2">
        <v>0.9</v>
      </c>
      <c r="K2">
        <f t="shared" ref="K2:K16" si="2">(F2-MIN(F$2:F$16))/(MAX(F$2:F$16)-MIN(F$2:F$16))</f>
        <v>1</v>
      </c>
      <c r="L2">
        <f t="shared" ref="L2:L16" si="3">(G2-MIN(G$2:G$16))/(MAX(G$2:G$16)-MIN(G$2:G$16))</f>
        <v>0.92436774488040274</v>
      </c>
      <c r="M2">
        <f t="shared" ref="M2:M16" si="4">(H2-MIN(H$2:H$16))/(MAX(H$2:H$16)-MIN(H$2:H$16))</f>
        <v>0.98192426284642886</v>
      </c>
      <c r="N2">
        <f t="shared" ref="N2:N16" si="5">(I2-MIN(I$2:I$16))/(MAX(I$2:I$16)-MIN(I$2:I$16))</f>
        <v>0.49999999999999989</v>
      </c>
      <c r="O2">
        <f t="shared" ref="O2:O16" si="6">(J2-MIN(J$2:J$16))/(MAX(J$2:J$16)-MIN(J$2:J$16))</f>
        <v>1</v>
      </c>
    </row>
    <row r="3" spans="1:15" x14ac:dyDescent="0.25">
      <c r="A3" s="1">
        <v>2</v>
      </c>
      <c r="B3" s="2" t="s">
        <v>14</v>
      </c>
      <c r="C3" s="2" t="s">
        <v>16</v>
      </c>
      <c r="D3" s="3">
        <v>2.5488529309019999E-5</v>
      </c>
      <c r="E3" s="3">
        <v>9.1557701293998599E-5</v>
      </c>
      <c r="F3" s="4">
        <v>0.34591194968553501</v>
      </c>
      <c r="G3">
        <f t="shared" si="0"/>
        <v>0.74511470690980008</v>
      </c>
      <c r="H3">
        <f t="shared" si="1"/>
        <v>8.4422987060014054E-2</v>
      </c>
      <c r="I3">
        <v>0.7</v>
      </c>
      <c r="J3">
        <v>0.5</v>
      </c>
      <c r="K3">
        <f t="shared" si="2"/>
        <v>0.70542107057620262</v>
      </c>
      <c r="L3">
        <f t="shared" si="3"/>
        <v>0.20765502706334077</v>
      </c>
      <c r="M3">
        <f t="shared" si="4"/>
        <v>7.5215064286997479E-2</v>
      </c>
      <c r="N3">
        <f t="shared" si="5"/>
        <v>0.49999999999999989</v>
      </c>
      <c r="O3">
        <f t="shared" si="6"/>
        <v>0</v>
      </c>
    </row>
    <row r="4" spans="1:15" x14ac:dyDescent="0.25">
      <c r="A4" s="1">
        <v>3</v>
      </c>
      <c r="B4" s="2" t="s">
        <v>14</v>
      </c>
      <c r="C4" s="2" t="s">
        <v>17</v>
      </c>
      <c r="D4" s="3">
        <v>1.5607736564484801E-5</v>
      </c>
      <c r="E4" s="3">
        <v>9.3094441365713305E-5</v>
      </c>
      <c r="F4" s="4">
        <v>0.104938271604938</v>
      </c>
      <c r="G4">
        <f t="shared" si="0"/>
        <v>0.84392263435515202</v>
      </c>
      <c r="H4">
        <f t="shared" si="1"/>
        <v>6.9055586342866904E-2</v>
      </c>
      <c r="I4">
        <v>0.5</v>
      </c>
      <c r="J4">
        <v>0.7</v>
      </c>
      <c r="K4">
        <f t="shared" si="2"/>
        <v>0</v>
      </c>
      <c r="L4">
        <f t="shared" si="3"/>
        <v>0.67807577445088396</v>
      </c>
      <c r="M4">
        <f t="shared" si="4"/>
        <v>5.1328297086212879E-2</v>
      </c>
      <c r="N4">
        <f t="shared" si="5"/>
        <v>0</v>
      </c>
      <c r="O4">
        <f t="shared" si="6"/>
        <v>0.49999999999999989</v>
      </c>
    </row>
    <row r="5" spans="1:15" x14ac:dyDescent="0.25">
      <c r="A5" s="1">
        <v>4</v>
      </c>
      <c r="B5" s="2" t="s">
        <v>14</v>
      </c>
      <c r="C5" s="2" t="s">
        <v>18</v>
      </c>
      <c r="D5" s="3">
        <v>1.34174007666941E-5</v>
      </c>
      <c r="E5" s="3">
        <v>6.6866104671318494E-5</v>
      </c>
      <c r="F5" s="4">
        <v>0.41509433962264197</v>
      </c>
      <c r="G5">
        <f t="shared" si="0"/>
        <v>0.86582599233305901</v>
      </c>
      <c r="H5">
        <f t="shared" si="1"/>
        <v>0.33133895328681506</v>
      </c>
      <c r="I5">
        <v>0.8</v>
      </c>
      <c r="J5">
        <v>0.8</v>
      </c>
      <c r="K5">
        <f t="shared" si="2"/>
        <v>0.90794408455506359</v>
      </c>
      <c r="L5">
        <f t="shared" si="3"/>
        <v>0.7823568204829715</v>
      </c>
      <c r="M5">
        <f t="shared" si="4"/>
        <v>0.45901609296944051</v>
      </c>
      <c r="N5">
        <f t="shared" si="5"/>
        <v>0.75000000000000011</v>
      </c>
      <c r="O5">
        <f t="shared" si="6"/>
        <v>0.75000000000000011</v>
      </c>
    </row>
    <row r="6" spans="1:15" x14ac:dyDescent="0.25">
      <c r="A6" s="1">
        <v>5</v>
      </c>
      <c r="B6" s="2" t="s">
        <v>14</v>
      </c>
      <c r="C6" s="2" t="s">
        <v>19</v>
      </c>
      <c r="D6" s="3">
        <v>1.4158430926241401E-5</v>
      </c>
      <c r="E6" s="3">
        <v>3.2062246907789E-5</v>
      </c>
      <c r="F6" s="4">
        <v>0.320754716981132</v>
      </c>
      <c r="G6">
        <f t="shared" si="0"/>
        <v>0.85841569073758595</v>
      </c>
      <c r="H6">
        <f t="shared" si="1"/>
        <v>0.67937753092210995</v>
      </c>
      <c r="I6">
        <v>0.7</v>
      </c>
      <c r="J6">
        <v>0.8</v>
      </c>
      <c r="K6">
        <f t="shared" si="2"/>
        <v>0.6317763382202517</v>
      </c>
      <c r="L6">
        <f t="shared" si="3"/>
        <v>0.74707665921415489</v>
      </c>
      <c r="M6">
        <f t="shared" si="4"/>
        <v>1</v>
      </c>
      <c r="N6">
        <f t="shared" si="5"/>
        <v>0.49999999999999989</v>
      </c>
      <c r="O6">
        <f t="shared" si="6"/>
        <v>0.75000000000000011</v>
      </c>
    </row>
    <row r="7" spans="1:15" x14ac:dyDescent="0.25">
      <c r="A7" s="1">
        <v>6</v>
      </c>
      <c r="B7" s="2" t="s">
        <v>15</v>
      </c>
      <c r="C7" s="2" t="s">
        <v>16</v>
      </c>
      <c r="D7" s="3">
        <v>1.9403534773904901E-5</v>
      </c>
      <c r="E7" s="3">
        <v>9.6396614919892298E-5</v>
      </c>
      <c r="F7" s="4">
        <v>0.23913043478260901</v>
      </c>
      <c r="G7">
        <f t="shared" si="0"/>
        <v>0.80596465226095093</v>
      </c>
      <c r="H7">
        <f t="shared" si="1"/>
        <v>3.6033850801077016E-2</v>
      </c>
      <c r="I7">
        <v>0.8</v>
      </c>
      <c r="J7">
        <v>0.5</v>
      </c>
      <c r="K7">
        <f t="shared" si="2"/>
        <v>0.39283120117404752</v>
      </c>
      <c r="L7">
        <f t="shared" si="3"/>
        <v>0.49735927965391669</v>
      </c>
      <c r="M7">
        <f t="shared" si="4"/>
        <v>0</v>
      </c>
      <c r="N7">
        <f t="shared" si="5"/>
        <v>0.75000000000000011</v>
      </c>
      <c r="O7">
        <f t="shared" si="6"/>
        <v>0</v>
      </c>
    </row>
    <row r="8" spans="1:15" x14ac:dyDescent="0.25">
      <c r="A8" s="1">
        <v>7</v>
      </c>
      <c r="B8" s="2" t="s">
        <v>15</v>
      </c>
      <c r="C8" s="2" t="s">
        <v>17</v>
      </c>
      <c r="D8" s="3">
        <v>1.1327065153194101E-5</v>
      </c>
      <c r="E8" s="3">
        <v>7.7241732526079496E-5</v>
      </c>
      <c r="F8" s="4">
        <v>0.25</v>
      </c>
      <c r="G8">
        <f t="shared" si="0"/>
        <v>0.88672934846805895</v>
      </c>
      <c r="H8">
        <f t="shared" si="1"/>
        <v>0.22758267473920502</v>
      </c>
      <c r="I8">
        <v>0.6</v>
      </c>
      <c r="J8">
        <v>0.7</v>
      </c>
      <c r="K8">
        <f t="shared" si="2"/>
        <v>0.4246505284691442</v>
      </c>
      <c r="L8">
        <f t="shared" si="3"/>
        <v>0.88187689615071829</v>
      </c>
      <c r="M8">
        <f t="shared" si="4"/>
        <v>0.29773949734314903</v>
      </c>
      <c r="N8">
        <f t="shared" si="5"/>
        <v>0.24999999999999994</v>
      </c>
      <c r="O8">
        <f t="shared" si="6"/>
        <v>0.49999999999999989</v>
      </c>
    </row>
    <row r="9" spans="1:15" x14ac:dyDescent="0.25">
      <c r="A9" s="1">
        <v>8</v>
      </c>
      <c r="B9" s="2" t="s">
        <v>15</v>
      </c>
      <c r="C9" s="2" t="s">
        <v>18</v>
      </c>
      <c r="D9" s="3">
        <v>8.8459885553661696E-6</v>
      </c>
      <c r="E9" s="3">
        <v>4.07744566467895E-5</v>
      </c>
      <c r="F9" s="4">
        <v>0.27536231884057999</v>
      </c>
      <c r="G9">
        <f t="shared" si="0"/>
        <v>0.91154011444633831</v>
      </c>
      <c r="H9">
        <f t="shared" si="1"/>
        <v>0.59225543353210508</v>
      </c>
      <c r="I9">
        <v>0.8</v>
      </c>
      <c r="J9">
        <v>0.9</v>
      </c>
      <c r="K9">
        <f t="shared" si="2"/>
        <v>0.49889562549103966</v>
      </c>
      <c r="L9">
        <f t="shared" si="3"/>
        <v>1</v>
      </c>
      <c r="M9">
        <f t="shared" si="4"/>
        <v>0.86457922867352255</v>
      </c>
      <c r="N9">
        <f t="shared" si="5"/>
        <v>0.75000000000000011</v>
      </c>
      <c r="O9">
        <f t="shared" si="6"/>
        <v>1</v>
      </c>
    </row>
    <row r="10" spans="1:15" x14ac:dyDescent="0.25">
      <c r="A10" s="1">
        <v>9</v>
      </c>
      <c r="B10" s="2" t="s">
        <v>15</v>
      </c>
      <c r="C10" s="2" t="s">
        <v>19</v>
      </c>
      <c r="D10" s="3">
        <v>1.03649736819894E-5</v>
      </c>
      <c r="E10" s="3">
        <v>4.1711669404276003E-5</v>
      </c>
      <c r="F10" s="4">
        <v>0.38405797101449302</v>
      </c>
      <c r="G10">
        <f t="shared" si="0"/>
        <v>0.89635026318010602</v>
      </c>
      <c r="H10">
        <f t="shared" si="1"/>
        <v>0.58288330595724003</v>
      </c>
      <c r="I10">
        <v>0.7</v>
      </c>
      <c r="J10">
        <v>0.8</v>
      </c>
      <c r="K10">
        <f t="shared" si="2"/>
        <v>0.81708889844201671</v>
      </c>
      <c r="L10">
        <f t="shared" si="3"/>
        <v>0.92768170155862573</v>
      </c>
      <c r="M10">
        <f t="shared" si="4"/>
        <v>0.85001138901882678</v>
      </c>
      <c r="N10">
        <f t="shared" si="5"/>
        <v>0.49999999999999989</v>
      </c>
      <c r="O10">
        <f t="shared" si="6"/>
        <v>0.75000000000000011</v>
      </c>
    </row>
    <row r="11" spans="1:15" x14ac:dyDescent="0.25">
      <c r="A11" s="1">
        <v>10</v>
      </c>
      <c r="B11" s="2" t="s">
        <v>16</v>
      </c>
      <c r="C11" s="2" t="s">
        <v>17</v>
      </c>
      <c r="D11" s="3">
        <v>1.6442963453453702E-5</v>
      </c>
      <c r="E11" s="3">
        <v>5.5551017300455899E-5</v>
      </c>
      <c r="F11" s="4">
        <v>0.19135802469135799</v>
      </c>
      <c r="G11">
        <f t="shared" si="0"/>
        <v>0.83557036546546293</v>
      </c>
      <c r="H11">
        <f t="shared" si="1"/>
        <v>0.44448982699544104</v>
      </c>
      <c r="I11">
        <v>0.5</v>
      </c>
      <c r="J11">
        <v>0.8</v>
      </c>
      <c r="K11">
        <f t="shared" si="2"/>
        <v>0.25298329355608618</v>
      </c>
      <c r="L11">
        <f t="shared" si="3"/>
        <v>0.63831094307495673</v>
      </c>
      <c r="M11">
        <f t="shared" si="4"/>
        <v>0.63489545139779835</v>
      </c>
      <c r="N11">
        <f t="shared" si="5"/>
        <v>0</v>
      </c>
      <c r="O11">
        <f t="shared" si="6"/>
        <v>0.75000000000000011</v>
      </c>
    </row>
    <row r="12" spans="1:15" x14ac:dyDescent="0.25">
      <c r="A12" s="1">
        <v>11</v>
      </c>
      <c r="B12" s="2" t="s">
        <v>16</v>
      </c>
      <c r="C12" s="2" t="s">
        <v>18</v>
      </c>
      <c r="D12" s="3">
        <v>2.24862309696119E-5</v>
      </c>
      <c r="E12" s="3">
        <v>9.06743188782098E-5</v>
      </c>
      <c r="F12" s="4">
        <v>0.15151515151515199</v>
      </c>
      <c r="G12">
        <f t="shared" si="0"/>
        <v>0.77513769030388102</v>
      </c>
      <c r="H12">
        <f t="shared" si="1"/>
        <v>9.3256811217901969E-2</v>
      </c>
      <c r="I12">
        <v>0.7</v>
      </c>
      <c r="J12">
        <v>0.6</v>
      </c>
      <c r="K12">
        <f t="shared" si="2"/>
        <v>0.13634813873477553</v>
      </c>
      <c r="L12">
        <f t="shared" si="3"/>
        <v>0.35059329782970872</v>
      </c>
      <c r="M12">
        <f t="shared" si="4"/>
        <v>8.8946176336199556E-2</v>
      </c>
      <c r="N12">
        <f t="shared" si="5"/>
        <v>0.49999999999999989</v>
      </c>
      <c r="O12">
        <f t="shared" si="6"/>
        <v>0.24999999999999994</v>
      </c>
    </row>
    <row r="13" spans="1:15" x14ac:dyDescent="0.25">
      <c r="A13" s="1">
        <v>12</v>
      </c>
      <c r="B13" s="2" t="s">
        <v>16</v>
      </c>
      <c r="C13" s="2" t="s">
        <v>19</v>
      </c>
      <c r="D13" s="3">
        <v>2.98501487660024E-5</v>
      </c>
      <c r="E13" s="3">
        <v>9.2186324871784803E-5</v>
      </c>
      <c r="F13" s="4">
        <v>0.19626168224299101</v>
      </c>
      <c r="G13">
        <f t="shared" si="0"/>
        <v>0.70149851233997595</v>
      </c>
      <c r="H13">
        <f t="shared" si="1"/>
        <v>7.8136751282152028E-2</v>
      </c>
      <c r="I13">
        <v>0.6</v>
      </c>
      <c r="J13">
        <v>0.5</v>
      </c>
      <c r="K13">
        <f t="shared" si="2"/>
        <v>0.26733815333730709</v>
      </c>
      <c r="L13">
        <f t="shared" si="3"/>
        <v>0</v>
      </c>
      <c r="M13">
        <f t="shared" si="4"/>
        <v>6.5443870487939121E-2</v>
      </c>
      <c r="N13">
        <f t="shared" si="5"/>
        <v>0.24999999999999994</v>
      </c>
      <c r="O13">
        <f t="shared" si="6"/>
        <v>0</v>
      </c>
    </row>
    <row r="14" spans="1:15" x14ac:dyDescent="0.25">
      <c r="A14" s="1">
        <v>13</v>
      </c>
      <c r="B14" s="2" t="s">
        <v>17</v>
      </c>
      <c r="C14" s="2" t="s">
        <v>18</v>
      </c>
      <c r="D14" s="3">
        <v>1.2236375523526399E-5</v>
      </c>
      <c r="E14" s="3">
        <v>6.8326383717646507E-5</v>
      </c>
      <c r="F14" s="4">
        <v>0.20061728395061701</v>
      </c>
      <c r="G14">
        <f t="shared" si="0"/>
        <v>0.87763624476473601</v>
      </c>
      <c r="H14">
        <f t="shared" si="1"/>
        <v>0.31673616282353489</v>
      </c>
      <c r="I14">
        <v>0.6</v>
      </c>
      <c r="J14">
        <v>0.8</v>
      </c>
      <c r="K14">
        <f t="shared" si="2"/>
        <v>0.28008864643709463</v>
      </c>
      <c r="L14">
        <f t="shared" si="3"/>
        <v>0.8385849786823002</v>
      </c>
      <c r="M14">
        <f t="shared" si="4"/>
        <v>0.43631782000197633</v>
      </c>
      <c r="N14">
        <f t="shared" si="5"/>
        <v>0.24999999999999994</v>
      </c>
      <c r="O14">
        <f t="shared" si="6"/>
        <v>0.75000000000000011</v>
      </c>
    </row>
    <row r="15" spans="1:15" x14ac:dyDescent="0.25">
      <c r="A15" s="1">
        <v>14</v>
      </c>
      <c r="B15" s="2" t="s">
        <v>17</v>
      </c>
      <c r="C15" s="2" t="s">
        <v>19</v>
      </c>
      <c r="D15" s="3">
        <v>1.23873481840947E-5</v>
      </c>
      <c r="E15" s="3">
        <v>7.2786033260697098E-5</v>
      </c>
      <c r="F15" s="4">
        <v>0.157407407407407</v>
      </c>
      <c r="G15">
        <f t="shared" si="0"/>
        <v>0.87612651815905296</v>
      </c>
      <c r="H15">
        <f t="shared" si="1"/>
        <v>0.27213966739302897</v>
      </c>
      <c r="I15">
        <v>0.7</v>
      </c>
      <c r="J15">
        <v>0.7</v>
      </c>
      <c r="K15">
        <f t="shared" si="2"/>
        <v>0.15359699965905149</v>
      </c>
      <c r="L15">
        <f t="shared" si="3"/>
        <v>0.83139722830074225</v>
      </c>
      <c r="M15">
        <f t="shared" si="4"/>
        <v>0.36699795752642367</v>
      </c>
      <c r="N15">
        <f t="shared" si="5"/>
        <v>0.49999999999999989</v>
      </c>
      <c r="O15">
        <f t="shared" si="6"/>
        <v>0.49999999999999989</v>
      </c>
    </row>
    <row r="16" spans="1:15" x14ac:dyDescent="0.25">
      <c r="A16" s="1">
        <v>15</v>
      </c>
      <c r="B16" s="2" t="s">
        <v>18</v>
      </c>
      <c r="C16" s="2" t="s">
        <v>19</v>
      </c>
      <c r="D16" s="3">
        <v>8.9926656344966094E-6</v>
      </c>
      <c r="E16" s="3">
        <v>4.4363797567798598E-5</v>
      </c>
      <c r="F16" s="4">
        <v>0.19626168224299101</v>
      </c>
      <c r="G16">
        <f t="shared" si="0"/>
        <v>0.9100733436550339</v>
      </c>
      <c r="H16">
        <f t="shared" si="1"/>
        <v>0.55636202432201398</v>
      </c>
      <c r="I16">
        <v>0.9</v>
      </c>
      <c r="J16">
        <v>0.9</v>
      </c>
      <c r="K16">
        <f t="shared" si="2"/>
        <v>0.26733815333730709</v>
      </c>
      <c r="L16">
        <f t="shared" si="3"/>
        <v>0.99301676060078015</v>
      </c>
      <c r="M16">
        <f t="shared" si="4"/>
        <v>0.80878726192359129</v>
      </c>
      <c r="N16">
        <f t="shared" si="5"/>
        <v>1</v>
      </c>
      <c r="O16">
        <f t="shared" si="6"/>
        <v>1</v>
      </c>
    </row>
    <row r="57" spans="4:4" ht="12.75" customHeight="1" x14ac:dyDescent="0.25">
      <c r="D57" t="s">
        <v>20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251202_pairwise_distances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Elric Milet</cp:lastModifiedBy>
  <cp:revision>2</cp:revision>
  <dcterms:modified xsi:type="dcterms:W3CDTF">2025-12-17T14:43:40Z</dcterms:modified>
  <dc:language>en-US</dc:language>
</cp:coreProperties>
</file>