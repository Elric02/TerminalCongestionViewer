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51202_pairwise_distan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<sst xmlns="http://schemas.openxmlformats.org/spreadsheetml/2006/main" count="44" uniqueCount="20">
  <si>
    <t xml:space="preserve">traj1</t>
  </si>
  <si>
    <t xml:space="preserve">traj2</t>
  </si>
  <si>
    <t xml:space="preserve">sspd</t>
  </si>
  <si>
    <t xml:space="preserve">dfd</t>
  </si>
  <si>
    <t xml:space="preserve">edr</t>
  </si>
  <si>
    <t xml:space="preserve">1-sspd*10000</t>
  </si>
  <si>
    <t xml:space="preserve">1-dfd*10000</t>
  </si>
  <si>
    <t xml:space="preserve">subj. local</t>
  </si>
  <si>
    <t xml:space="preserve">subj. global</t>
  </si>
  <si>
    <t xml:space="preserve">norm. edr</t>
  </si>
  <si>
    <t xml:space="preserve">norm. 1-sspd</t>
  </si>
  <si>
    <t xml:space="preserve">norm. 1-dfd</t>
  </si>
  <si>
    <t xml:space="preserve">norm. subj. loc.</t>
  </si>
  <si>
    <t xml:space="preserve">norm. subj. glob.</t>
  </si>
  <si>
    <t xml:space="preserve">55700000076548472</t>
  </si>
  <si>
    <t xml:space="preserve">55700000076547896</t>
  </si>
  <si>
    <t xml:space="preserve">55700000076547865</t>
  </si>
  <si>
    <t xml:space="preserve">55700000076547834</t>
  </si>
  <si>
    <t xml:space="preserve">55700000076546593</t>
  </si>
  <si>
    <t xml:space="preserve">55700000076546624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</si>
</sst>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000000000000000000"/>
    <numFmt numFmtId="167" formatCode="#,##0.000000000000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251202_pairwise_distances!$K$1</c:f>
              <c:strCache>
                <c:ptCount val="1"/>
                <c:pt idx="0">
                  <c:v>norm. edr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251202_pairwise_distances!$K$2:$K$16</c:f>
              <c:numCache>
                <c:formatCode>General</c:formatCode>
                <c:ptCount val="15"/>
                <c:pt idx="0">
                  <c:v>1</c:v>
                </c:pt>
                <c:pt idx="1">
                  <c:v>0.705421070576202</c:v>
                </c:pt>
                <c:pt idx="2">
                  <c:v>0</c:v>
                </c:pt>
                <c:pt idx="3">
                  <c:v>0.907944084555063</c:v>
                </c:pt>
                <c:pt idx="4">
                  <c:v>0.631776338220252</c:v>
                </c:pt>
                <c:pt idx="5">
                  <c:v>0.392831201174047</c:v>
                </c:pt>
                <c:pt idx="6">
                  <c:v>0.424650528469144</c:v>
                </c:pt>
                <c:pt idx="7">
                  <c:v>0.498895625491039</c:v>
                </c:pt>
                <c:pt idx="8">
                  <c:v>0.817088898442017</c:v>
                </c:pt>
                <c:pt idx="9">
                  <c:v>0.252983293556086</c:v>
                </c:pt>
                <c:pt idx="10">
                  <c:v>0.136348138734774</c:v>
                </c:pt>
                <c:pt idx="11">
                  <c:v>0.267338153337306</c:v>
                </c:pt>
                <c:pt idx="12">
                  <c:v>0.280088646437095</c:v>
                </c:pt>
                <c:pt idx="13">
                  <c:v>0.153596999659052</c:v>
                </c:pt>
                <c:pt idx="14">
                  <c:v>0.267338153337306</c:v>
                </c:pt>
              </c:numCache>
            </c:numRef>
          </c:val>
        </c:ser>
        <c:ser>
          <c:idx val="1"/>
          <c:order val="1"/>
          <c:tx>
            <c:strRef>
              <c:f>251202_pairwise_distances!$L$1</c:f>
              <c:strCache>
                <c:ptCount val="1"/>
                <c:pt idx="0">
                  <c:v>norm. 1-sspd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251202_pairwise_distances!$L$2:$L$16</c:f>
              <c:numCache>
                <c:formatCode>General</c:formatCode>
                <c:ptCount val="15"/>
                <c:pt idx="0">
                  <c:v>0.924367744880404</c:v>
                </c:pt>
                <c:pt idx="1">
                  <c:v>0.207655027063344</c:v>
                </c:pt>
                <c:pt idx="2">
                  <c:v>0.678075774450885</c:v>
                </c:pt>
                <c:pt idx="3">
                  <c:v>0.782356820482973</c:v>
                </c:pt>
                <c:pt idx="4">
                  <c:v>0.747076659214157</c:v>
                </c:pt>
                <c:pt idx="5">
                  <c:v>0.49735927965392</c:v>
                </c:pt>
                <c:pt idx="6">
                  <c:v>0.881876896150718</c:v>
                </c:pt>
                <c:pt idx="7">
                  <c:v>1</c:v>
                </c:pt>
                <c:pt idx="8">
                  <c:v>0.927681701558628</c:v>
                </c:pt>
                <c:pt idx="9">
                  <c:v>0.638310943074958</c:v>
                </c:pt>
                <c:pt idx="10">
                  <c:v>0.350593297829709</c:v>
                </c:pt>
                <c:pt idx="11">
                  <c:v>0</c:v>
                </c:pt>
                <c:pt idx="12">
                  <c:v>0.838584978682301</c:v>
                </c:pt>
                <c:pt idx="13">
                  <c:v>0.831397228300744</c:v>
                </c:pt>
                <c:pt idx="14">
                  <c:v>0.99301676060078</c:v>
                </c:pt>
              </c:numCache>
            </c:numRef>
          </c:val>
        </c:ser>
        <c:ser>
          <c:idx val="2"/>
          <c:order val="2"/>
          <c:tx>
            <c:strRef>
              <c:f>251202_pairwise_distances!$M$1</c:f>
              <c:strCache>
                <c:ptCount val="1"/>
                <c:pt idx="0">
                  <c:v>norm. 1-dfd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251202_pairwise_distances!$M$2:$M$16</c:f>
              <c:numCache>
                <c:formatCode>General</c:formatCode>
                <c:ptCount val="15"/>
                <c:pt idx="0">
                  <c:v>0.981924262846429</c:v>
                </c:pt>
                <c:pt idx="1">
                  <c:v>0.0752150642869971</c:v>
                </c:pt>
                <c:pt idx="2">
                  <c:v>0.0513282970862132</c:v>
                </c:pt>
                <c:pt idx="3">
                  <c:v>0.459016092969441</c:v>
                </c:pt>
                <c:pt idx="4">
                  <c:v>1</c:v>
                </c:pt>
                <c:pt idx="5">
                  <c:v>0</c:v>
                </c:pt>
                <c:pt idx="6">
                  <c:v>0.297739497343149</c:v>
                </c:pt>
                <c:pt idx="7">
                  <c:v>0.864579228673523</c:v>
                </c:pt>
                <c:pt idx="8">
                  <c:v>0.850011389018827</c:v>
                </c:pt>
                <c:pt idx="9">
                  <c:v>0.634895451397799</c:v>
                </c:pt>
                <c:pt idx="10">
                  <c:v>0.0889461763362</c:v>
                </c:pt>
                <c:pt idx="11">
                  <c:v>0.0654438704879399</c:v>
                </c:pt>
                <c:pt idx="12">
                  <c:v>0.436317820001977</c:v>
                </c:pt>
                <c:pt idx="13">
                  <c:v>0.366997957526424</c:v>
                </c:pt>
                <c:pt idx="14">
                  <c:v>0.80878726192359</c:v>
                </c:pt>
              </c:numCache>
            </c:numRef>
          </c:val>
        </c:ser>
        <c:ser>
          <c:idx val="3"/>
          <c:order val="3"/>
          <c:tx>
            <c:strRef>
              <c:f>251202_pairwise_distances!$N$1</c:f>
              <c:strCache>
                <c:ptCount val="1"/>
                <c:pt idx="0">
                  <c:v>norm. subj. loc.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251202_pairwise_distances!$N$2:$N$16</c:f>
              <c:numCache>
                <c:formatCode>General</c:formatCode>
                <c:ptCount val="15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  <c:pt idx="3">
                  <c:v>0.75</c:v>
                </c:pt>
                <c:pt idx="4">
                  <c:v>0.5</c:v>
                </c:pt>
                <c:pt idx="5">
                  <c:v>0.75</c:v>
                </c:pt>
                <c:pt idx="6">
                  <c:v>0.25</c:v>
                </c:pt>
                <c:pt idx="7">
                  <c:v>0.75</c:v>
                </c:pt>
                <c:pt idx="8">
                  <c:v>0.5</c:v>
                </c:pt>
                <c:pt idx="9">
                  <c:v>0</c:v>
                </c:pt>
                <c:pt idx="10">
                  <c:v>0.5</c:v>
                </c:pt>
                <c:pt idx="11">
                  <c:v>0.25</c:v>
                </c:pt>
                <c:pt idx="12">
                  <c:v>0.25</c:v>
                </c:pt>
                <c:pt idx="13">
                  <c:v>0.5</c:v>
                </c:pt>
                <c:pt idx="14">
                  <c:v>1</c:v>
                </c:pt>
              </c:numCache>
            </c:numRef>
          </c:val>
        </c:ser>
        <c:gapWidth val="100"/>
        <c:overlap val="0"/>
        <c:axId val="90082218"/>
        <c:axId val="23213005"/>
      </c:barChart>
      <c:catAx>
        <c:axId val="9008221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23213005"/>
        <c:crosses val="autoZero"/>
        <c:auto val="1"/>
        <c:lblAlgn val="ctr"/>
        <c:lblOffset val="100"/>
        <c:noMultiLvlLbl val="0"/>
      </c:catAx>
      <c:valAx>
        <c:axId val="2321300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008221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251202_pairwise_distances!$K$1</c:f>
              <c:strCache>
                <c:ptCount val="1"/>
                <c:pt idx="0">
                  <c:v>norm. edr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251202_pairwise_distances!$K$2:$K$16</c:f>
              <c:numCache>
                <c:formatCode>General</c:formatCode>
                <c:ptCount val="15"/>
                <c:pt idx="0">
                  <c:v>1</c:v>
                </c:pt>
                <c:pt idx="1">
                  <c:v>0.705421070576202</c:v>
                </c:pt>
                <c:pt idx="2">
                  <c:v>0</c:v>
                </c:pt>
                <c:pt idx="3">
                  <c:v>0.907944084555063</c:v>
                </c:pt>
                <c:pt idx="4">
                  <c:v>0.631776338220252</c:v>
                </c:pt>
                <c:pt idx="5">
                  <c:v>0.392831201174047</c:v>
                </c:pt>
                <c:pt idx="6">
                  <c:v>0.424650528469144</c:v>
                </c:pt>
                <c:pt idx="7">
                  <c:v>0.498895625491039</c:v>
                </c:pt>
                <c:pt idx="8">
                  <c:v>0.817088898442017</c:v>
                </c:pt>
                <c:pt idx="9">
                  <c:v>0.252983293556086</c:v>
                </c:pt>
                <c:pt idx="10">
                  <c:v>0.136348138734774</c:v>
                </c:pt>
                <c:pt idx="11">
                  <c:v>0.267338153337306</c:v>
                </c:pt>
                <c:pt idx="12">
                  <c:v>0.280088646437095</c:v>
                </c:pt>
                <c:pt idx="13">
                  <c:v>0.153596999659052</c:v>
                </c:pt>
                <c:pt idx="14">
                  <c:v>0.267338153337306</c:v>
                </c:pt>
              </c:numCache>
            </c:numRef>
          </c:val>
        </c:ser>
        <c:ser>
          <c:idx val="1"/>
          <c:order val="1"/>
          <c:tx>
            <c:strRef>
              <c:f>251202_pairwise_distances!$L$1</c:f>
              <c:strCache>
                <c:ptCount val="1"/>
                <c:pt idx="0">
                  <c:v>norm. 1-sspd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251202_pairwise_distances!$L$2:$L$16</c:f>
              <c:numCache>
                <c:formatCode>General</c:formatCode>
                <c:ptCount val="15"/>
                <c:pt idx="0">
                  <c:v>0.924367744880404</c:v>
                </c:pt>
                <c:pt idx="1">
                  <c:v>0.207655027063344</c:v>
                </c:pt>
                <c:pt idx="2">
                  <c:v>0.678075774450885</c:v>
                </c:pt>
                <c:pt idx="3">
                  <c:v>0.782356820482973</c:v>
                </c:pt>
                <c:pt idx="4">
                  <c:v>0.747076659214157</c:v>
                </c:pt>
                <c:pt idx="5">
                  <c:v>0.49735927965392</c:v>
                </c:pt>
                <c:pt idx="6">
                  <c:v>0.881876896150718</c:v>
                </c:pt>
                <c:pt idx="7">
                  <c:v>1</c:v>
                </c:pt>
                <c:pt idx="8">
                  <c:v>0.927681701558628</c:v>
                </c:pt>
                <c:pt idx="9">
                  <c:v>0.638310943074958</c:v>
                </c:pt>
                <c:pt idx="10">
                  <c:v>0.350593297829709</c:v>
                </c:pt>
                <c:pt idx="11">
                  <c:v>0</c:v>
                </c:pt>
                <c:pt idx="12">
                  <c:v>0.838584978682301</c:v>
                </c:pt>
                <c:pt idx="13">
                  <c:v>0.831397228300744</c:v>
                </c:pt>
                <c:pt idx="14">
                  <c:v>0.99301676060078</c:v>
                </c:pt>
              </c:numCache>
            </c:numRef>
          </c:val>
        </c:ser>
        <c:ser>
          <c:idx val="2"/>
          <c:order val="2"/>
          <c:tx>
            <c:strRef>
              <c:f>251202_pairwise_distances!$M$1</c:f>
              <c:strCache>
                <c:ptCount val="1"/>
                <c:pt idx="0">
                  <c:v>norm. 1-dfd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251202_pairwise_distances!$M$2:$M$16</c:f>
              <c:numCache>
                <c:formatCode>General</c:formatCode>
                <c:ptCount val="15"/>
                <c:pt idx="0">
                  <c:v>0.981924262846429</c:v>
                </c:pt>
                <c:pt idx="1">
                  <c:v>0.0752150642869971</c:v>
                </c:pt>
                <c:pt idx="2">
                  <c:v>0.0513282970862132</c:v>
                </c:pt>
                <c:pt idx="3">
                  <c:v>0.459016092969441</c:v>
                </c:pt>
                <c:pt idx="4">
                  <c:v>1</c:v>
                </c:pt>
                <c:pt idx="5">
                  <c:v>0</c:v>
                </c:pt>
                <c:pt idx="6">
                  <c:v>0.297739497343149</c:v>
                </c:pt>
                <c:pt idx="7">
                  <c:v>0.864579228673523</c:v>
                </c:pt>
                <c:pt idx="8">
                  <c:v>0.850011389018827</c:v>
                </c:pt>
                <c:pt idx="9">
                  <c:v>0.634895451397799</c:v>
                </c:pt>
                <c:pt idx="10">
                  <c:v>0.0889461763362</c:v>
                </c:pt>
                <c:pt idx="11">
                  <c:v>0.0654438704879399</c:v>
                </c:pt>
                <c:pt idx="12">
                  <c:v>0.436317820001977</c:v>
                </c:pt>
                <c:pt idx="13">
                  <c:v>0.366997957526424</c:v>
                </c:pt>
                <c:pt idx="14">
                  <c:v>0.80878726192359</c:v>
                </c:pt>
              </c:numCache>
            </c:numRef>
          </c:val>
        </c:ser>
        <c:ser>
          <c:idx val="3"/>
          <c:order val="3"/>
          <c:tx>
            <c:strRef>
              <c:f>251202_pairwise_distances!$O$1</c:f>
              <c:strCache>
                <c:ptCount val="1"/>
                <c:pt idx="0">
                  <c:v>norm. subj. glob.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251202_pairwise_distances!$O$2:$O$16</c:f>
              <c:numCache>
                <c:formatCode>General</c:formatCode>
                <c:ptCount val="15"/>
                <c:pt idx="0">
                  <c:v>1</c:v>
                </c:pt>
                <c:pt idx="1">
                  <c:v>0</c:v>
                </c:pt>
                <c:pt idx="2">
                  <c:v>0.5</c:v>
                </c:pt>
                <c:pt idx="3">
                  <c:v>0.75</c:v>
                </c:pt>
                <c:pt idx="4">
                  <c:v>0.75</c:v>
                </c:pt>
                <c:pt idx="5">
                  <c:v>0</c:v>
                </c:pt>
                <c:pt idx="6">
                  <c:v>0.5</c:v>
                </c:pt>
                <c:pt idx="7">
                  <c:v>1</c:v>
                </c:pt>
                <c:pt idx="8">
                  <c:v>0.75</c:v>
                </c:pt>
                <c:pt idx="9">
                  <c:v>0.75</c:v>
                </c:pt>
                <c:pt idx="10">
                  <c:v>0.25</c:v>
                </c:pt>
                <c:pt idx="11">
                  <c:v>0</c:v>
                </c:pt>
                <c:pt idx="12">
                  <c:v>0.75</c:v>
                </c:pt>
                <c:pt idx="13">
                  <c:v>0.5</c:v>
                </c:pt>
                <c:pt idx="14">
                  <c:v>1</c:v>
                </c:pt>
              </c:numCache>
            </c:numRef>
          </c:val>
        </c:ser>
        <c:gapWidth val="100"/>
        <c:overlap val="0"/>
        <c:axId val="72091839"/>
        <c:axId val="83759063"/>
      </c:barChart>
      <c:catAx>
        <c:axId val="720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3759063"/>
        <c:crosses val="autoZero"/>
        <c:auto val="1"/>
        <c:lblAlgn val="ctr"/>
        <c:lblOffset val="100"/>
        <c:noMultiLvlLbl val="0"/>
      </c:catAx>
      <c:valAx>
        <c:axId val="837590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209183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702720</xdr:colOff>
      <xdr:row>18</xdr:row>
      <xdr:rowOff>113400</xdr:rowOff>
    </xdr:from>
    <xdr:to>
      <xdr:col>6</xdr:col>
      <xdr:colOff>732600</xdr:colOff>
      <xdr:row>53</xdr:row>
      <xdr:rowOff>123840</xdr:rowOff>
    </xdr:to>
    <xdr:graphicFrame>
      <xdr:nvGraphicFramePr>
        <xdr:cNvPr id="1" name=""/>
        <xdr:cNvGraphicFramePr/>
      </xdr:nvGraphicFramePr>
      <xdr:xfrm>
        <a:off x="1053720" y="3039480"/>
        <a:ext cx="10133640" cy="5699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861120</xdr:colOff>
      <xdr:row>17</xdr:row>
      <xdr:rowOff>152280</xdr:rowOff>
    </xdr:from>
    <xdr:to>
      <xdr:col>17</xdr:col>
      <xdr:colOff>3240</xdr:colOff>
      <xdr:row>53</xdr:row>
      <xdr:rowOff>100800</xdr:rowOff>
    </xdr:to>
    <xdr:graphicFrame>
      <xdr:nvGraphicFramePr>
        <xdr:cNvPr id="2" name=""/>
        <xdr:cNvGraphicFramePr/>
      </xdr:nvGraphicFramePr>
      <xdr:xfrm>
        <a:off x="11315880" y="2915640"/>
        <a:ext cx="10312920" cy="580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:C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98"/>
    <col collapsed="false" customWidth="true" hidden="false" outlineLevel="0" max="5" min="2" style="0" width="30.04"/>
    <col collapsed="false" customWidth="true" hidden="false" outlineLevel="0" max="8" min="6" style="0" width="23.2"/>
    <col collapsed="false" customWidth="true" hidden="false" outlineLevel="0" max="9" min="9" style="0" width="13.87"/>
    <col collapsed="false" customWidth="true" hidden="false" outlineLevel="0" max="14" min="14" style="0" width="14.03"/>
    <col collapsed="false" customWidth="true" hidden="false" outlineLevel="0" max="15" min="15" style="0" width="15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</row>
    <row r="2" customFormat="false" ht="12.8" hidden="false" customHeight="false" outlineLevel="0" collapsed="false">
      <c r="A2" s="1" t="n">
        <v>1</v>
      </c>
      <c r="B2" s="2" t="s">
        <v>14</v>
      </c>
      <c r="C2" s="2" t="s">
        <v>15</v>
      </c>
      <c r="D2" s="3" t="n">
        <v>1.04345805589899E-005</v>
      </c>
      <c r="E2" s="3" t="n">
        <v>3.32251380339169E-005</v>
      </c>
      <c r="F2" s="4" t="n">
        <v>0.446540880503145</v>
      </c>
      <c r="G2" s="0" t="n">
        <f aca="false">1-D2*10000</f>
        <v>0.895654194410101</v>
      </c>
      <c r="H2" s="0" t="n">
        <f aca="false">1-E2*10000</f>
        <v>0.667748619660831</v>
      </c>
      <c r="I2" s="0" t="n">
        <v>0.7</v>
      </c>
      <c r="J2" s="0" t="n">
        <v>0.9</v>
      </c>
      <c r="K2" s="0" t="n">
        <f aca="false">(F2-MIN(F$2:F$16))/(MAX(F$2:F$16)-MIN(F$2:F$16))</f>
        <v>1</v>
      </c>
      <c r="L2" s="0" t="n">
        <f aca="false">(G2-MIN(G$2:G$16))/(MAX(G$2:G$16)-MIN(G$2:G$16))</f>
        <v>0.924367744880404</v>
      </c>
      <c r="M2" s="0" t="n">
        <f aca="false">(H2-MIN(H$2:H$16))/(MAX(H$2:H$16)-MIN(H$2:H$16))</f>
        <v>0.981924262846429</v>
      </c>
      <c r="N2" s="0" t="n">
        <f aca="false">(I2-MIN(I$2:I$16))/(MAX(I$2:I$16)-MIN(I$2:I$16))</f>
        <v>0.5</v>
      </c>
      <c r="O2" s="0" t="n">
        <f aca="false">(J2-MIN(J$2:J$16))/(MAX(J$2:J$16)-MIN(J$2:J$16))</f>
        <v>1</v>
      </c>
    </row>
    <row r="3" customFormat="false" ht="12.8" hidden="false" customHeight="false" outlineLevel="0" collapsed="false">
      <c r="A3" s="1" t="n">
        <v>2</v>
      </c>
      <c r="B3" s="2" t="s">
        <v>14</v>
      </c>
      <c r="C3" s="2" t="s">
        <v>16</v>
      </c>
      <c r="D3" s="3" t="n">
        <v>2.548852930902E-005</v>
      </c>
      <c r="E3" s="3" t="n">
        <v>9.15577012939986E-005</v>
      </c>
      <c r="F3" s="4" t="n">
        <v>0.345911949685535</v>
      </c>
      <c r="G3" s="0" t="n">
        <f aca="false">1-D3*10000</f>
        <v>0.7451147069098</v>
      </c>
      <c r="H3" s="0" t="n">
        <f aca="false">1-E3*10000</f>
        <v>0.0844229870600136</v>
      </c>
      <c r="I3" s="0" t="n">
        <v>0.7</v>
      </c>
      <c r="J3" s="0" t="n">
        <v>0.5</v>
      </c>
      <c r="K3" s="0" t="n">
        <f aca="false">(F3-MIN(F$2:F$16))/(MAX(F$2:F$16)-MIN(F$2:F$16))</f>
        <v>0.705421070576202</v>
      </c>
      <c r="L3" s="0" t="n">
        <f aca="false">(G3-MIN(G$2:G$16))/(MAX(G$2:G$16)-MIN(G$2:G$16))</f>
        <v>0.207655027063344</v>
      </c>
      <c r="M3" s="0" t="n">
        <f aca="false">(H3-MIN(H$2:H$16))/(MAX(H$2:H$16)-MIN(H$2:H$16))</f>
        <v>0.0752150642869971</v>
      </c>
      <c r="N3" s="0" t="n">
        <f aca="false">(I3-MIN(I$2:I$16))/(MAX(I$2:I$16)-MIN(I$2:I$16))</f>
        <v>0.5</v>
      </c>
      <c r="O3" s="0" t="n">
        <f aca="false">(J3-MIN(J$2:J$16))/(MAX(J$2:J$16)-MIN(J$2:J$16))</f>
        <v>0</v>
      </c>
    </row>
    <row r="4" customFormat="false" ht="12.8" hidden="false" customHeight="false" outlineLevel="0" collapsed="false">
      <c r="A4" s="1" t="n">
        <v>3</v>
      </c>
      <c r="B4" s="2" t="s">
        <v>14</v>
      </c>
      <c r="C4" s="2" t="s">
        <v>17</v>
      </c>
      <c r="D4" s="3" t="n">
        <v>1.56077365644848E-005</v>
      </c>
      <c r="E4" s="3" t="n">
        <v>9.30944413657133E-005</v>
      </c>
      <c r="F4" s="4" t="n">
        <v>0.104938271604938</v>
      </c>
      <c r="G4" s="0" t="n">
        <f aca="false">1-D4*10000</f>
        <v>0.843922634355152</v>
      </c>
      <c r="H4" s="0" t="n">
        <f aca="false">1-E4*10000</f>
        <v>0.0690555863428669</v>
      </c>
      <c r="I4" s="0" t="n">
        <v>0.5</v>
      </c>
      <c r="J4" s="0" t="n">
        <v>0.7</v>
      </c>
      <c r="K4" s="0" t="n">
        <f aca="false">(F4-MIN(F$2:F$16))/(MAX(F$2:F$16)-MIN(F$2:F$16))</f>
        <v>0</v>
      </c>
      <c r="L4" s="0" t="n">
        <f aca="false">(G4-MIN(G$2:G$16))/(MAX(G$2:G$16)-MIN(G$2:G$16))</f>
        <v>0.678075774450885</v>
      </c>
      <c r="M4" s="0" t="n">
        <f aca="false">(H4-MIN(H$2:H$16))/(MAX(H$2:H$16)-MIN(H$2:H$16))</f>
        <v>0.0513282970862132</v>
      </c>
      <c r="N4" s="0" t="n">
        <f aca="false">(I4-MIN(I$2:I$16))/(MAX(I$2:I$16)-MIN(I$2:I$16))</f>
        <v>0</v>
      </c>
      <c r="O4" s="0" t="n">
        <f aca="false">(J4-MIN(J$2:J$16))/(MAX(J$2:J$16)-MIN(J$2:J$16))</f>
        <v>0.5</v>
      </c>
    </row>
    <row r="5" customFormat="false" ht="12.8" hidden="false" customHeight="false" outlineLevel="0" collapsed="false">
      <c r="A5" s="1" t="n">
        <v>4</v>
      </c>
      <c r="B5" s="2" t="s">
        <v>14</v>
      </c>
      <c r="C5" s="2" t="s">
        <v>18</v>
      </c>
      <c r="D5" s="3" t="n">
        <v>1.34174007666941E-005</v>
      </c>
      <c r="E5" s="3" t="n">
        <v>6.68661046713185E-005</v>
      </c>
      <c r="F5" s="4" t="n">
        <v>0.415094339622642</v>
      </c>
      <c r="G5" s="0" t="n">
        <f aca="false">1-D5*10000</f>
        <v>0.865825992333059</v>
      </c>
      <c r="H5" s="0" t="n">
        <f aca="false">1-E5*10000</f>
        <v>0.331338953286816</v>
      </c>
      <c r="I5" s="0" t="n">
        <v>0.8</v>
      </c>
      <c r="J5" s="0" t="n">
        <v>0.8</v>
      </c>
      <c r="K5" s="0" t="n">
        <f aca="false">(F5-MIN(F$2:F$16))/(MAX(F$2:F$16)-MIN(F$2:F$16))</f>
        <v>0.907944084555063</v>
      </c>
      <c r="L5" s="0" t="n">
        <f aca="false">(G5-MIN(G$2:G$16))/(MAX(G$2:G$16)-MIN(G$2:G$16))</f>
        <v>0.782356820482973</v>
      </c>
      <c r="M5" s="0" t="n">
        <f aca="false">(H5-MIN(H$2:H$16))/(MAX(H$2:H$16)-MIN(H$2:H$16))</f>
        <v>0.459016092969441</v>
      </c>
      <c r="N5" s="0" t="n">
        <f aca="false">(I5-MIN(I$2:I$16))/(MAX(I$2:I$16)-MIN(I$2:I$16))</f>
        <v>0.75</v>
      </c>
      <c r="O5" s="0" t="n">
        <f aca="false">(J5-MIN(J$2:J$16))/(MAX(J$2:J$16)-MIN(J$2:J$16))</f>
        <v>0.75</v>
      </c>
    </row>
    <row r="6" customFormat="false" ht="12.8" hidden="false" customHeight="false" outlineLevel="0" collapsed="false">
      <c r="A6" s="1" t="n">
        <v>5</v>
      </c>
      <c r="B6" s="2" t="s">
        <v>14</v>
      </c>
      <c r="C6" s="2" t="s">
        <v>19</v>
      </c>
      <c r="D6" s="3" t="n">
        <v>1.41584309262414E-005</v>
      </c>
      <c r="E6" s="3" t="n">
        <v>3.2062246907789E-005</v>
      </c>
      <c r="F6" s="4" t="n">
        <v>0.320754716981132</v>
      </c>
      <c r="G6" s="0" t="n">
        <f aca="false">1-D6*10000</f>
        <v>0.858415690737586</v>
      </c>
      <c r="H6" s="0" t="n">
        <f aca="false">1-E6*10000</f>
        <v>0.67937753092211</v>
      </c>
      <c r="I6" s="0" t="n">
        <v>0.7</v>
      </c>
      <c r="J6" s="0" t="n">
        <v>0.8</v>
      </c>
      <c r="K6" s="0" t="n">
        <f aca="false">(F6-MIN(F$2:F$16))/(MAX(F$2:F$16)-MIN(F$2:F$16))</f>
        <v>0.631776338220252</v>
      </c>
      <c r="L6" s="0" t="n">
        <f aca="false">(G6-MIN(G$2:G$16))/(MAX(G$2:G$16)-MIN(G$2:G$16))</f>
        <v>0.747076659214157</v>
      </c>
      <c r="M6" s="0" t="n">
        <f aca="false">(H6-MIN(H$2:H$16))/(MAX(H$2:H$16)-MIN(H$2:H$16))</f>
        <v>1</v>
      </c>
      <c r="N6" s="0" t="n">
        <f aca="false">(I6-MIN(I$2:I$16))/(MAX(I$2:I$16)-MIN(I$2:I$16))</f>
        <v>0.5</v>
      </c>
      <c r="O6" s="0" t="n">
        <f aca="false">(J6-MIN(J$2:J$16))/(MAX(J$2:J$16)-MIN(J$2:J$16))</f>
        <v>0.75</v>
      </c>
    </row>
    <row r="7" customFormat="false" ht="12.8" hidden="false" customHeight="false" outlineLevel="0" collapsed="false">
      <c r="A7" s="1" t="n">
        <v>6</v>
      </c>
      <c r="B7" s="2" t="s">
        <v>15</v>
      </c>
      <c r="C7" s="2" t="s">
        <v>16</v>
      </c>
      <c r="D7" s="3" t="n">
        <v>1.94035347739049E-005</v>
      </c>
      <c r="E7" s="3" t="n">
        <v>9.63966149198923E-005</v>
      </c>
      <c r="F7" s="4" t="n">
        <v>0.239130434782609</v>
      </c>
      <c r="G7" s="0" t="n">
        <f aca="false">1-D7*10000</f>
        <v>0.805964652260952</v>
      </c>
      <c r="H7" s="0" t="n">
        <f aca="false">1-E7*10000</f>
        <v>0.0360338508010768</v>
      </c>
      <c r="I7" s="0" t="n">
        <v>0.8</v>
      </c>
      <c r="J7" s="0" t="n">
        <v>0.5</v>
      </c>
      <c r="K7" s="0" t="n">
        <f aca="false">(F7-MIN(F$2:F$16))/(MAX(F$2:F$16)-MIN(F$2:F$16))</f>
        <v>0.392831201174047</v>
      </c>
      <c r="L7" s="0" t="n">
        <f aca="false">(G7-MIN(G$2:G$16))/(MAX(G$2:G$16)-MIN(G$2:G$16))</f>
        <v>0.49735927965392</v>
      </c>
      <c r="M7" s="0" t="n">
        <f aca="false">(H7-MIN(H$2:H$16))/(MAX(H$2:H$16)-MIN(H$2:H$16))</f>
        <v>0</v>
      </c>
      <c r="N7" s="0" t="n">
        <f aca="false">(I7-MIN(I$2:I$16))/(MAX(I$2:I$16)-MIN(I$2:I$16))</f>
        <v>0.75</v>
      </c>
      <c r="O7" s="0" t="n">
        <f aca="false">(J7-MIN(J$2:J$16))/(MAX(J$2:J$16)-MIN(J$2:J$16))</f>
        <v>0</v>
      </c>
    </row>
    <row r="8" customFormat="false" ht="12.8" hidden="false" customHeight="false" outlineLevel="0" collapsed="false">
      <c r="A8" s="1" t="n">
        <v>7</v>
      </c>
      <c r="B8" s="2" t="s">
        <v>15</v>
      </c>
      <c r="C8" s="2" t="s">
        <v>17</v>
      </c>
      <c r="D8" s="3" t="n">
        <v>1.13270651531941E-005</v>
      </c>
      <c r="E8" s="3" t="n">
        <v>7.72417325260795E-005</v>
      </c>
      <c r="F8" s="4" t="n">
        <v>0.25</v>
      </c>
      <c r="G8" s="0" t="n">
        <f aca="false">1-D8*10000</f>
        <v>0.886729348468059</v>
      </c>
      <c r="H8" s="0" t="n">
        <f aca="false">1-E8*10000</f>
        <v>0.227582674739205</v>
      </c>
      <c r="I8" s="0" t="n">
        <v>0.6</v>
      </c>
      <c r="J8" s="0" t="n">
        <v>0.7</v>
      </c>
      <c r="K8" s="0" t="n">
        <f aca="false">(F8-MIN(F$2:F$16))/(MAX(F$2:F$16)-MIN(F$2:F$16))</f>
        <v>0.424650528469144</v>
      </c>
      <c r="L8" s="0" t="n">
        <f aca="false">(G8-MIN(G$2:G$16))/(MAX(G$2:G$16)-MIN(G$2:G$16))</f>
        <v>0.881876896150718</v>
      </c>
      <c r="M8" s="0" t="n">
        <f aca="false">(H8-MIN(H$2:H$16))/(MAX(H$2:H$16)-MIN(H$2:H$16))</f>
        <v>0.297739497343149</v>
      </c>
      <c r="N8" s="0" t="n">
        <f aca="false">(I8-MIN(I$2:I$16))/(MAX(I$2:I$16)-MIN(I$2:I$16))</f>
        <v>0.25</v>
      </c>
      <c r="O8" s="0" t="n">
        <f aca="false">(J8-MIN(J$2:J$16))/(MAX(J$2:J$16)-MIN(J$2:J$16))</f>
        <v>0.5</v>
      </c>
    </row>
    <row r="9" customFormat="false" ht="12.8" hidden="false" customHeight="false" outlineLevel="0" collapsed="false">
      <c r="A9" s="1" t="n">
        <v>8</v>
      </c>
      <c r="B9" s="2" t="s">
        <v>15</v>
      </c>
      <c r="C9" s="2" t="s">
        <v>18</v>
      </c>
      <c r="D9" s="3" t="n">
        <v>8.84598855536617E-006</v>
      </c>
      <c r="E9" s="3" t="n">
        <v>4.07744566467895E-005</v>
      </c>
      <c r="F9" s="4" t="n">
        <v>0.27536231884058</v>
      </c>
      <c r="G9" s="0" t="n">
        <f aca="false">1-D9*10000</f>
        <v>0.911540114446338</v>
      </c>
      <c r="H9" s="0" t="n">
        <f aca="false">1-E9*10000</f>
        <v>0.592255433532106</v>
      </c>
      <c r="I9" s="0" t="n">
        <v>0.8</v>
      </c>
      <c r="J9" s="0" t="n">
        <v>0.9</v>
      </c>
      <c r="K9" s="0" t="n">
        <f aca="false">(F9-MIN(F$2:F$16))/(MAX(F$2:F$16)-MIN(F$2:F$16))</f>
        <v>0.498895625491039</v>
      </c>
      <c r="L9" s="0" t="n">
        <f aca="false">(G9-MIN(G$2:G$16))/(MAX(G$2:G$16)-MIN(G$2:G$16))</f>
        <v>1</v>
      </c>
      <c r="M9" s="0" t="n">
        <f aca="false">(H9-MIN(H$2:H$16))/(MAX(H$2:H$16)-MIN(H$2:H$16))</f>
        <v>0.864579228673523</v>
      </c>
      <c r="N9" s="0" t="n">
        <f aca="false">(I9-MIN(I$2:I$16))/(MAX(I$2:I$16)-MIN(I$2:I$16))</f>
        <v>0.75</v>
      </c>
      <c r="O9" s="0" t="n">
        <f aca="false">(J9-MIN(J$2:J$16))/(MAX(J$2:J$16)-MIN(J$2:J$16))</f>
        <v>1</v>
      </c>
    </row>
    <row r="10" customFormat="false" ht="12.8" hidden="false" customHeight="false" outlineLevel="0" collapsed="false">
      <c r="A10" s="1" t="n">
        <v>9</v>
      </c>
      <c r="B10" s="2" t="s">
        <v>15</v>
      </c>
      <c r="C10" s="2" t="s">
        <v>19</v>
      </c>
      <c r="D10" s="3" t="n">
        <v>1.03649736819894E-005</v>
      </c>
      <c r="E10" s="3" t="n">
        <v>4.1711669404276E-005</v>
      </c>
      <c r="F10" s="4" t="n">
        <v>0.384057971014493</v>
      </c>
      <c r="G10" s="0" t="n">
        <f aca="false">1-D10*10000</f>
        <v>0.896350263180106</v>
      </c>
      <c r="H10" s="0" t="n">
        <f aca="false">1-E10*10000</f>
        <v>0.58288330595724</v>
      </c>
      <c r="I10" s="0" t="n">
        <v>0.7</v>
      </c>
      <c r="J10" s="0" t="n">
        <v>0.8</v>
      </c>
      <c r="K10" s="0" t="n">
        <f aca="false">(F10-MIN(F$2:F$16))/(MAX(F$2:F$16)-MIN(F$2:F$16))</f>
        <v>0.817088898442017</v>
      </c>
      <c r="L10" s="0" t="n">
        <f aca="false">(G10-MIN(G$2:G$16))/(MAX(G$2:G$16)-MIN(G$2:G$16))</f>
        <v>0.927681701558628</v>
      </c>
      <c r="M10" s="0" t="n">
        <f aca="false">(H10-MIN(H$2:H$16))/(MAX(H$2:H$16)-MIN(H$2:H$16))</f>
        <v>0.850011389018827</v>
      </c>
      <c r="N10" s="0" t="n">
        <f aca="false">(I10-MIN(I$2:I$16))/(MAX(I$2:I$16)-MIN(I$2:I$16))</f>
        <v>0.5</v>
      </c>
      <c r="O10" s="0" t="n">
        <f aca="false">(J10-MIN(J$2:J$16))/(MAX(J$2:J$16)-MIN(J$2:J$16))</f>
        <v>0.75</v>
      </c>
    </row>
    <row r="11" customFormat="false" ht="12.8" hidden="false" customHeight="false" outlineLevel="0" collapsed="false">
      <c r="A11" s="1" t="n">
        <v>10</v>
      </c>
      <c r="B11" s="2" t="s">
        <v>16</v>
      </c>
      <c r="C11" s="2" t="s">
        <v>17</v>
      </c>
      <c r="D11" s="3" t="n">
        <v>1.64429634534537E-005</v>
      </c>
      <c r="E11" s="3" t="n">
        <v>5.55510173004559E-005</v>
      </c>
      <c r="F11" s="4" t="n">
        <v>0.191358024691358</v>
      </c>
      <c r="G11" s="0" t="n">
        <f aca="false">1-D11*10000</f>
        <v>0.835570365465463</v>
      </c>
      <c r="H11" s="0" t="n">
        <f aca="false">1-E11*10000</f>
        <v>0.444489826995442</v>
      </c>
      <c r="I11" s="0" t="n">
        <v>0.5</v>
      </c>
      <c r="J11" s="0" t="n">
        <v>0.8</v>
      </c>
      <c r="K11" s="0" t="n">
        <f aca="false">(F11-MIN(F$2:F$16))/(MAX(F$2:F$16)-MIN(F$2:F$16))</f>
        <v>0.252983293556086</v>
      </c>
      <c r="L11" s="0" t="n">
        <f aca="false">(G11-MIN(G$2:G$16))/(MAX(G$2:G$16)-MIN(G$2:G$16))</f>
        <v>0.638310943074958</v>
      </c>
      <c r="M11" s="0" t="n">
        <f aca="false">(H11-MIN(H$2:H$16))/(MAX(H$2:H$16)-MIN(H$2:H$16))</f>
        <v>0.634895451397799</v>
      </c>
      <c r="N11" s="0" t="n">
        <f aca="false">(I11-MIN(I$2:I$16))/(MAX(I$2:I$16)-MIN(I$2:I$16))</f>
        <v>0</v>
      </c>
      <c r="O11" s="0" t="n">
        <f aca="false">(J11-MIN(J$2:J$16))/(MAX(J$2:J$16)-MIN(J$2:J$16))</f>
        <v>0.75</v>
      </c>
    </row>
    <row r="12" customFormat="false" ht="12.8" hidden="false" customHeight="false" outlineLevel="0" collapsed="false">
      <c r="A12" s="1" t="n">
        <v>11</v>
      </c>
      <c r="B12" s="2" t="s">
        <v>16</v>
      </c>
      <c r="C12" s="2" t="s">
        <v>18</v>
      </c>
      <c r="D12" s="3" t="n">
        <v>2.24862309696119E-005</v>
      </c>
      <c r="E12" s="3" t="n">
        <v>9.06743188782098E-005</v>
      </c>
      <c r="F12" s="4" t="n">
        <v>0.151515151515152</v>
      </c>
      <c r="G12" s="0" t="n">
        <f aca="false">1-D12*10000</f>
        <v>0.775137690303881</v>
      </c>
      <c r="H12" s="0" t="n">
        <f aca="false">1-E12*10000</f>
        <v>0.0932568112179021</v>
      </c>
      <c r="I12" s="0" t="n">
        <v>0.7</v>
      </c>
      <c r="J12" s="0" t="n">
        <v>0.6</v>
      </c>
      <c r="K12" s="0" t="n">
        <f aca="false">(F12-MIN(F$2:F$16))/(MAX(F$2:F$16)-MIN(F$2:F$16))</f>
        <v>0.136348138734774</v>
      </c>
      <c r="L12" s="0" t="n">
        <f aca="false">(G12-MIN(G$2:G$16))/(MAX(G$2:G$16)-MIN(G$2:G$16))</f>
        <v>0.350593297829709</v>
      </c>
      <c r="M12" s="0" t="n">
        <f aca="false">(H12-MIN(H$2:H$16))/(MAX(H$2:H$16)-MIN(H$2:H$16))</f>
        <v>0.0889461763362</v>
      </c>
      <c r="N12" s="0" t="n">
        <f aca="false">(I12-MIN(I$2:I$16))/(MAX(I$2:I$16)-MIN(I$2:I$16))</f>
        <v>0.5</v>
      </c>
      <c r="O12" s="0" t="n">
        <f aca="false">(J12-MIN(J$2:J$16))/(MAX(J$2:J$16)-MIN(J$2:J$16))</f>
        <v>0.25</v>
      </c>
    </row>
    <row r="13" customFormat="false" ht="12.8" hidden="false" customHeight="false" outlineLevel="0" collapsed="false">
      <c r="A13" s="1" t="n">
        <v>12</v>
      </c>
      <c r="B13" s="2" t="s">
        <v>16</v>
      </c>
      <c r="C13" s="2" t="s">
        <v>19</v>
      </c>
      <c r="D13" s="3" t="n">
        <v>2.98501487660024E-005</v>
      </c>
      <c r="E13" s="3" t="n">
        <v>9.21863248717848E-005</v>
      </c>
      <c r="F13" s="4" t="n">
        <v>0.196261682242991</v>
      </c>
      <c r="G13" s="0" t="n">
        <f aca="false">1-D13*10000</f>
        <v>0.701498512339976</v>
      </c>
      <c r="H13" s="0" t="n">
        <f aca="false">1-E13*10000</f>
        <v>0.0781367512821524</v>
      </c>
      <c r="I13" s="0" t="n">
        <v>0.6</v>
      </c>
      <c r="J13" s="0" t="n">
        <v>0.5</v>
      </c>
      <c r="K13" s="0" t="n">
        <f aca="false">(F13-MIN(F$2:F$16))/(MAX(F$2:F$16)-MIN(F$2:F$16))</f>
        <v>0.267338153337306</v>
      </c>
      <c r="L13" s="0" t="n">
        <f aca="false">(G13-MIN(G$2:G$16))/(MAX(G$2:G$16)-MIN(G$2:G$16))</f>
        <v>0</v>
      </c>
      <c r="M13" s="0" t="n">
        <f aca="false">(H13-MIN(H$2:H$16))/(MAX(H$2:H$16)-MIN(H$2:H$16))</f>
        <v>0.0654438704879399</v>
      </c>
      <c r="N13" s="0" t="n">
        <f aca="false">(I13-MIN(I$2:I$16))/(MAX(I$2:I$16)-MIN(I$2:I$16))</f>
        <v>0.25</v>
      </c>
      <c r="O13" s="0" t="n">
        <f aca="false">(J13-MIN(J$2:J$16))/(MAX(J$2:J$16)-MIN(J$2:J$16))</f>
        <v>0</v>
      </c>
    </row>
    <row r="14" customFormat="false" ht="12.8" hidden="false" customHeight="false" outlineLevel="0" collapsed="false">
      <c r="A14" s="1" t="n">
        <v>13</v>
      </c>
      <c r="B14" s="2" t="s">
        <v>17</v>
      </c>
      <c r="C14" s="2" t="s">
        <v>18</v>
      </c>
      <c r="D14" s="3" t="n">
        <v>1.22363755235264E-005</v>
      </c>
      <c r="E14" s="3" t="n">
        <v>6.83263837176465E-005</v>
      </c>
      <c r="F14" s="4" t="n">
        <v>0.200617283950617</v>
      </c>
      <c r="G14" s="0" t="n">
        <f aca="false">1-D14*10000</f>
        <v>0.877636244764736</v>
      </c>
      <c r="H14" s="0" t="n">
        <f aca="false">1-E14*10000</f>
        <v>0.316736162823535</v>
      </c>
      <c r="I14" s="0" t="n">
        <v>0.6</v>
      </c>
      <c r="J14" s="0" t="n">
        <v>0.8</v>
      </c>
      <c r="K14" s="0" t="n">
        <f aca="false">(F14-MIN(F$2:F$16))/(MAX(F$2:F$16)-MIN(F$2:F$16))</f>
        <v>0.280088646437095</v>
      </c>
      <c r="L14" s="0" t="n">
        <f aca="false">(G14-MIN(G$2:G$16))/(MAX(G$2:G$16)-MIN(G$2:G$16))</f>
        <v>0.838584978682301</v>
      </c>
      <c r="M14" s="0" t="n">
        <f aca="false">(H14-MIN(H$2:H$16))/(MAX(H$2:H$16)-MIN(H$2:H$16))</f>
        <v>0.436317820001977</v>
      </c>
      <c r="N14" s="0" t="n">
        <f aca="false">(I14-MIN(I$2:I$16))/(MAX(I$2:I$16)-MIN(I$2:I$16))</f>
        <v>0.25</v>
      </c>
      <c r="O14" s="0" t="n">
        <f aca="false">(J14-MIN(J$2:J$16))/(MAX(J$2:J$16)-MIN(J$2:J$16))</f>
        <v>0.75</v>
      </c>
    </row>
    <row r="15" customFormat="false" ht="12.8" hidden="false" customHeight="false" outlineLevel="0" collapsed="false">
      <c r="A15" s="1" t="n">
        <v>14</v>
      </c>
      <c r="B15" s="2" t="s">
        <v>17</v>
      </c>
      <c r="C15" s="2" t="s">
        <v>19</v>
      </c>
      <c r="D15" s="3" t="n">
        <v>1.23873481840947E-005</v>
      </c>
      <c r="E15" s="3" t="n">
        <v>7.27860332606971E-005</v>
      </c>
      <c r="F15" s="4" t="n">
        <v>0.157407407407407</v>
      </c>
      <c r="G15" s="0" t="n">
        <f aca="false">1-D15*10000</f>
        <v>0.876126518159053</v>
      </c>
      <c r="H15" s="0" t="n">
        <f aca="false">1-E15*10000</f>
        <v>0.272139667393029</v>
      </c>
      <c r="I15" s="0" t="n">
        <v>0.7</v>
      </c>
      <c r="J15" s="0" t="n">
        <v>0.7</v>
      </c>
      <c r="K15" s="0" t="n">
        <f aca="false">(F15-MIN(F$2:F$16))/(MAX(F$2:F$16)-MIN(F$2:F$16))</f>
        <v>0.153596999659052</v>
      </c>
      <c r="L15" s="0" t="n">
        <f aca="false">(G15-MIN(G$2:G$16))/(MAX(G$2:G$16)-MIN(G$2:G$16))</f>
        <v>0.831397228300744</v>
      </c>
      <c r="M15" s="0" t="n">
        <f aca="false">(H15-MIN(H$2:H$16))/(MAX(H$2:H$16)-MIN(H$2:H$16))</f>
        <v>0.366997957526424</v>
      </c>
      <c r="N15" s="0" t="n">
        <f aca="false">(I15-MIN(I$2:I$16))/(MAX(I$2:I$16)-MIN(I$2:I$16))</f>
        <v>0.5</v>
      </c>
      <c r="O15" s="0" t="n">
        <f aca="false">(J15-MIN(J$2:J$16))/(MAX(J$2:J$16)-MIN(J$2:J$16))</f>
        <v>0.5</v>
      </c>
    </row>
    <row r="16" customFormat="false" ht="12.8" hidden="false" customHeight="false" outlineLevel="0" collapsed="false">
      <c r="A16" s="1" t="n">
        <v>15</v>
      </c>
      <c r="B16" s="2" t="s">
        <v>18</v>
      </c>
      <c r="C16" s="2" t="s">
        <v>19</v>
      </c>
      <c r="D16" s="3" t="n">
        <v>8.99266563449661E-006</v>
      </c>
      <c r="E16" s="3" t="n">
        <v>4.43637975677986E-005</v>
      </c>
      <c r="F16" s="4" t="n">
        <v>0.196261682242991</v>
      </c>
      <c r="G16" s="0" t="n">
        <f aca="false">1-D16*10000</f>
        <v>0.910073343655034</v>
      </c>
      <c r="H16" s="0" t="n">
        <f aca="false">1-E16*10000</f>
        <v>0.556362024322014</v>
      </c>
      <c r="I16" s="0" t="n">
        <v>0.9</v>
      </c>
      <c r="J16" s="0" t="n">
        <v>0.9</v>
      </c>
      <c r="K16" s="0" t="n">
        <f aca="false">(F16-MIN(F$2:F$16))/(MAX(F$2:F$16)-MIN(F$2:F$16))</f>
        <v>0.267338153337306</v>
      </c>
      <c r="L16" s="0" t="n">
        <f aca="false">(G16-MIN(G$2:G$16))/(MAX(G$2:G$16)-MIN(G$2:G$16))</f>
        <v>0.99301676060078</v>
      </c>
      <c r="M16" s="0" t="n">
        <f aca="false">(H16-MIN(H$2:H$16))/(MAX(H$2:H$16)-MIN(H$2:H$16))</f>
        <v>0.80878726192359</v>
      </c>
      <c r="N16" s="0" t="n">
        <f aca="false">(I16-MIN(I$2:I$16))/(MAX(I$2:I$16)-MIN(I$2:I$16))</f>
        <v>1</v>
      </c>
      <c r="O16" s="0" t="n">
        <f aca="false">(J16-MIN(J$2:J$16))/(MAX(J$2:J$16)-MIN(J$2:J$16))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2025-12-02T14:37:25Z</dcterms:modified>
  <cp:revision>2</cp:revision>
  <dc:subject/>
  <dc:title/>
</cp:coreProperties>
</file>